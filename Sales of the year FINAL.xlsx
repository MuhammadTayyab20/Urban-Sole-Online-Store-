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  <sheet name="Table1" sheetId="2" r:id="rId2"/>
  </sheets>
  <definedNames>
    <definedName name="_xlnm._FilterDatabase" localSheetId="0">Sheet1!$S$15:$S$19</definedName>
    <definedName name="Table1">Table1!$A$1</definedName>
  </definedNames>
  <calcPr calcId="144525"/>
</workbook>
</file>

<file path=xl/sharedStrings.xml><?xml version="1.0" encoding="utf-8"?>
<sst xmlns="http://schemas.openxmlformats.org/spreadsheetml/2006/main" count="48" uniqueCount="28">
  <si>
    <t>Urban Sole</t>
  </si>
  <si>
    <t>SALES FOR THE YEAR 2019</t>
  </si>
  <si>
    <t>MONTH</t>
  </si>
  <si>
    <t xml:space="preserve">TOTAL </t>
  </si>
  <si>
    <t>PROFIT</t>
  </si>
  <si>
    <t>SALE</t>
  </si>
  <si>
    <t>UNIT</t>
  </si>
  <si>
    <t>NET</t>
  </si>
  <si>
    <t>COST</t>
  </si>
  <si>
    <t>QUANTITY</t>
  </si>
  <si>
    <t>PRICES</t>
  </si>
  <si>
    <t>OCT</t>
  </si>
  <si>
    <t>DEC</t>
  </si>
  <si>
    <t>SEP</t>
  </si>
  <si>
    <t>AUG</t>
  </si>
  <si>
    <t>NOV</t>
  </si>
  <si>
    <t>JUL</t>
  </si>
  <si>
    <t>MAY</t>
  </si>
  <si>
    <t>MAR</t>
  </si>
  <si>
    <t>APR</t>
  </si>
  <si>
    <t>JUN</t>
  </si>
  <si>
    <t>FEB</t>
  </si>
  <si>
    <t>JAN</t>
  </si>
  <si>
    <t>TOTAL</t>
  </si>
  <si>
    <t>AVERAGE</t>
  </si>
  <si>
    <t>HIGHEST</t>
  </si>
  <si>
    <t>LOWEST</t>
  </si>
  <si>
    <t>ID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</si>
</sst>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i/>
      <sz val="36"/>
      <color theme="1"/>
      <name val="Vivaldi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50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10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12" borderId="42" applyNumberFormat="0" applyAlignment="0" applyProtection="0">
      <alignment vertical="center"/>
    </xf>
    <xf numFmtId="0" fontId="9" fillId="0" borderId="43" applyNumberFormat="0" applyFill="0" applyAlignment="0" applyProtection="0">
      <alignment vertical="center"/>
    </xf>
    <xf numFmtId="0" fontId="6" fillId="15" borderId="45" applyNumberFormat="0" applyFon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43" applyNumberFormat="0" applyFill="0" applyAlignment="0" applyProtection="0">
      <alignment vertical="center"/>
    </xf>
    <xf numFmtId="0" fontId="7" fillId="0" borderId="48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21" borderId="47" applyNumberForma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0" fillId="13" borderId="44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1" fillId="13" borderId="47" applyNumberFormat="0" applyAlignment="0" applyProtection="0">
      <alignment vertical="center"/>
    </xf>
    <xf numFmtId="0" fontId="16" fillId="0" borderId="46" applyNumberFormat="0" applyFill="0" applyAlignment="0" applyProtection="0">
      <alignment vertical="center"/>
    </xf>
    <xf numFmtId="0" fontId="22" fillId="0" borderId="49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</cellStyleXfs>
  <cellXfs count="74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2" xfId="0" applyFont="1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left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0" fillId="2" borderId="12" xfId="0" applyFill="1" applyBorder="1" applyAlignment="1">
      <alignment horizontal="left"/>
    </xf>
    <xf numFmtId="0" fontId="2" fillId="2" borderId="13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2" fillId="2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center" wrapText="1"/>
    </xf>
    <xf numFmtId="0" fontId="0" fillId="4" borderId="18" xfId="0" applyFill="1" applyBorder="1"/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2" xfId="0" applyFill="1" applyBorder="1"/>
    <xf numFmtId="0" fontId="0" fillId="4" borderId="23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12" xfId="0" applyFill="1" applyBorder="1"/>
    <xf numFmtId="0" fontId="0" fillId="4" borderId="26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5" borderId="2" xfId="0" applyFill="1" applyBorder="1"/>
    <xf numFmtId="0" fontId="0" fillId="5" borderId="29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2" xfId="0" applyFill="1" applyBorder="1"/>
    <xf numFmtId="0" fontId="0" fillId="6" borderId="3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7" borderId="2" xfId="0" applyFill="1" applyBorder="1"/>
    <xf numFmtId="0" fontId="0" fillId="7" borderId="2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29" xfId="0" applyFill="1" applyBorder="1"/>
    <xf numFmtId="0" fontId="0" fillId="8" borderId="29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2" borderId="30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2" fillId="2" borderId="32" xfId="0" applyFont="1" applyFill="1" applyBorder="1" applyAlignment="1">
      <alignment horizontal="center" wrapText="1"/>
    </xf>
    <xf numFmtId="0" fontId="2" fillId="2" borderId="33" xfId="0" applyFont="1" applyFill="1" applyBorder="1" applyAlignment="1">
      <alignment horizontal="center" wrapText="1"/>
    </xf>
    <xf numFmtId="0" fontId="0" fillId="2" borderId="12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0" borderId="33" xfId="0" applyBorder="1"/>
    <xf numFmtId="0" fontId="0" fillId="5" borderId="1" xfId="0" applyFill="1" applyBorder="1" applyAlignment="1">
      <alignment horizontal="center"/>
    </xf>
    <xf numFmtId="0" fontId="0" fillId="8" borderId="32" xfId="0" applyFill="1" applyBorder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Sheet1!$B$8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Sheet1!$O$5</c:f>
              <c:strCache>
                <c:ptCount val="1"/>
                <c:pt idx="0">
                  <c:v>PROFIT</c:v>
                </c:pt>
              </c:strCache>
            </c:strRef>
          </c:cat>
          <c:val>
            <c:numRef>
              <c:f>Sheet1!$O$8</c:f>
              <c:numCache>
                <c:formatCode>General</c:formatCode>
                <c:ptCount val="1"/>
                <c:pt idx="0">
                  <c:v>4412310</c:v>
                </c:pt>
              </c:numCache>
            </c:numRef>
          </c:val>
        </c:ser>
        <c:ser>
          <c:idx val="3"/>
          <c:order val="3"/>
          <c:tx>
            <c:strRef>
              <c:f>Sheet1!$B$9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Sheet1!$O$5</c:f>
              <c:strCache>
                <c:ptCount val="1"/>
                <c:pt idx="0">
                  <c:v>PROFIT</c:v>
                </c:pt>
              </c:strCache>
            </c:strRef>
          </c:cat>
          <c:val>
            <c:numRef>
              <c:f>Sheet1!$O$9</c:f>
              <c:numCache>
                <c:formatCode>General</c:formatCode>
                <c:ptCount val="1"/>
                <c:pt idx="0">
                  <c:v>10858970</c:v>
                </c:pt>
              </c:numCache>
            </c:numRef>
          </c:val>
        </c:ser>
        <c:ser>
          <c:idx val="4"/>
          <c:order val="4"/>
          <c:tx>
            <c:strRef>
              <c:f>Sheet1!$B$10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Sheet1!$O$5</c:f>
              <c:strCache>
                <c:ptCount val="1"/>
                <c:pt idx="0">
                  <c:v>PROFIT</c:v>
                </c:pt>
              </c:strCache>
            </c:strRef>
          </c:cat>
          <c:val>
            <c:numRef>
              <c:f>Sheet1!$O$10</c:f>
              <c:numCache>
                <c:formatCode>General</c:formatCode>
                <c:ptCount val="1"/>
                <c:pt idx="0">
                  <c:v>14150665</c:v>
                </c:pt>
              </c:numCache>
            </c:numRef>
          </c:val>
        </c:ser>
        <c:ser>
          <c:idx val="5"/>
          <c:order val="5"/>
          <c:tx>
            <c:strRef>
              <c:f>Sheet1!$B$11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Sheet1!$O$5</c:f>
              <c:strCache>
                <c:ptCount val="1"/>
                <c:pt idx="0">
                  <c:v>PROFIT</c:v>
                </c:pt>
              </c:strCache>
            </c:strRef>
          </c:cat>
          <c:val>
            <c:numRef>
              <c:f>Sheet1!$O$11</c:f>
              <c:numCache>
                <c:formatCode>General</c:formatCode>
                <c:ptCount val="1"/>
                <c:pt idx="0">
                  <c:v>7062460</c:v>
                </c:pt>
              </c:numCache>
            </c:numRef>
          </c:val>
        </c:ser>
        <c:ser>
          <c:idx val="6"/>
          <c:order val="6"/>
          <c:tx>
            <c:strRef>
              <c:f>Sheet1!$B$12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accent1">
                  <a:lumMod val="60000"/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Sheet1!$O$5</c:f>
              <c:strCache>
                <c:ptCount val="1"/>
                <c:pt idx="0">
                  <c:v>PROFIT</c:v>
                </c:pt>
              </c:strCache>
            </c:strRef>
          </c:cat>
          <c:val>
            <c:numRef>
              <c:f>Sheet1!$O$12</c:f>
              <c:numCache>
                <c:formatCode>General</c:formatCode>
                <c:ptCount val="1"/>
                <c:pt idx="0">
                  <c:v>6441395</c:v>
                </c:pt>
              </c:numCache>
            </c:numRef>
          </c:val>
        </c:ser>
        <c:ser>
          <c:idx val="7"/>
          <c:order val="7"/>
          <c:tx>
            <c:strRef>
              <c:f>Sheet1!$B$13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accent2">
                  <a:lumMod val="60000"/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Sheet1!$O$5</c:f>
              <c:strCache>
                <c:ptCount val="1"/>
                <c:pt idx="0">
                  <c:v>PROFIT</c:v>
                </c:pt>
              </c:strCache>
            </c:strRef>
          </c:cat>
          <c:val>
            <c:numRef>
              <c:f>Sheet1!$O$13</c:f>
              <c:numCache>
                <c:formatCode>General</c:formatCode>
                <c:ptCount val="1"/>
                <c:pt idx="0">
                  <c:v>6904590</c:v>
                </c:pt>
              </c:numCache>
            </c:numRef>
          </c:val>
        </c:ser>
        <c:ser>
          <c:idx val="8"/>
          <c:order val="8"/>
          <c:tx>
            <c:strRef>
              <c:f>Sheet1!$B$14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accent3">
                  <a:lumMod val="60000"/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Sheet1!$O$5</c:f>
              <c:strCache>
                <c:ptCount val="1"/>
                <c:pt idx="0">
                  <c:v>PROFIT</c:v>
                </c:pt>
              </c:strCache>
            </c:strRef>
          </c:cat>
          <c:val>
            <c:numRef>
              <c:f>Sheet1!$O$14</c:f>
              <c:numCache>
                <c:formatCode>General</c:formatCode>
                <c:ptCount val="1"/>
                <c:pt idx="0">
                  <c:v>7439140</c:v>
                </c:pt>
              </c:numCache>
            </c:numRef>
          </c:val>
        </c:ser>
        <c:ser>
          <c:idx val="9"/>
          <c:order val="9"/>
          <c:tx>
            <c:strRef>
              <c:f>Sheet1!$B$15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accent4">
                  <a:lumMod val="60000"/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Sheet1!$O$5</c:f>
              <c:strCache>
                <c:ptCount val="1"/>
                <c:pt idx="0">
                  <c:v>PROFIT</c:v>
                </c:pt>
              </c:strCache>
            </c:strRef>
          </c:cat>
          <c:val>
            <c:numRef>
              <c:f>Sheet1!$O$15</c:f>
              <c:numCache>
                <c:formatCode>General</c:formatCode>
                <c:ptCount val="1"/>
                <c:pt idx="0">
                  <c:v>4551230</c:v>
                </c:pt>
              </c:numCache>
            </c:numRef>
          </c:val>
        </c:ser>
        <c:ser>
          <c:idx val="10"/>
          <c:order val="10"/>
          <c:tx>
            <c:strRef>
              <c:f>Sheet1!$B$16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5">
                <a:lumMod val="60000"/>
                <a:alpha val="85000"/>
              </a:schemeClr>
            </a:solidFill>
            <a:ln w="9525" cap="flat" cmpd="sng" algn="ctr">
              <a:solidFill>
                <a:schemeClr val="accent5">
                  <a:lumMod val="60000"/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Sheet1!$O$5</c:f>
              <c:strCache>
                <c:ptCount val="1"/>
                <c:pt idx="0">
                  <c:v>PROFIT</c:v>
                </c:pt>
              </c:strCache>
            </c:strRef>
          </c:cat>
          <c:val>
            <c:numRef>
              <c:f>Sheet1!$O$16</c:f>
              <c:numCache>
                <c:formatCode>General</c:formatCode>
                <c:ptCount val="1"/>
                <c:pt idx="0">
                  <c:v>10305095</c:v>
                </c:pt>
              </c:numCache>
            </c:numRef>
          </c:val>
        </c:ser>
        <c:ser>
          <c:idx val="11"/>
          <c:order val="11"/>
          <c:tx>
            <c:strRef>
              <c:f>Sheet1!$B$17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accent6">
                  <a:lumMod val="60000"/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Sheet1!$O$5</c:f>
              <c:strCache>
                <c:ptCount val="1"/>
                <c:pt idx="0">
                  <c:v>PROFIT</c:v>
                </c:pt>
              </c:strCache>
            </c:strRef>
          </c:cat>
          <c:val>
            <c:numRef>
              <c:f>Sheet1!$O$17</c:f>
              <c:numCache>
                <c:formatCode>General</c:formatCode>
                <c:ptCount val="1"/>
                <c:pt idx="0">
                  <c:v>9664010</c:v>
                </c:pt>
              </c:numCache>
            </c:numRef>
          </c:val>
        </c:ser>
        <c:ser>
          <c:idx val="12"/>
          <c:order val="12"/>
          <c:tx>
            <c:strRef>
              <c:f>Sheet1!$B$18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accent1">
                  <a:lumMod val="80000"/>
                  <a:lumOff val="20000"/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Sheet1!$O$5</c:f>
              <c:strCache>
                <c:ptCount val="1"/>
                <c:pt idx="0">
                  <c:v>PROFIT</c:v>
                </c:pt>
              </c:strCache>
            </c:strRef>
          </c:cat>
          <c:val>
            <c:numRef>
              <c:f>Sheet1!$O$18</c:f>
              <c:numCache>
                <c:formatCode>General</c:formatCode>
                <c:ptCount val="1"/>
                <c:pt idx="0">
                  <c:v>8559660</c:v>
                </c:pt>
              </c:numCache>
            </c:numRef>
          </c:val>
        </c:ser>
        <c:ser>
          <c:idx val="13"/>
          <c:order val="13"/>
          <c:tx>
            <c:strRef>
              <c:f>Sheet1!$B$19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accent2">
                  <a:lumMod val="80000"/>
                  <a:lumOff val="20000"/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Sheet1!$O$5</c:f>
              <c:strCache>
                <c:ptCount val="1"/>
                <c:pt idx="0">
                  <c:v>PROFIT</c:v>
                </c:pt>
              </c:strCache>
            </c:strRef>
          </c:cat>
          <c:val>
            <c:numRef>
              <c:f>Sheet1!$O$19</c:f>
              <c:numCache>
                <c:formatCode>General</c:formatCode>
                <c:ptCount val="1"/>
                <c:pt idx="0">
                  <c:v>6276900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-1480675968"/>
        <c:axId val="-14806803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Sheet1!$B$6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accent1">
                        <a:lumMod val="75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Sheet1!$O$5</c15:sqref>
                        </c15:formulaRef>
                      </c:ext>
                    </c:extLst>
                    <c:strCache>
                      <c:ptCount val="1"/>
                      <c:pt idx="0">
                        <c:v>PROFIT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Sheet1!$O$6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Sheet1!$B$7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2">
                      <a:alpha val="85000"/>
                    </a:schemeClr>
                  </a:solidFill>
                  <a:ln w="9525" cap="flat" cmpd="sng" algn="ctr">
                    <a:solidFill>
                      <a:schemeClr val="accent2">
                        <a:lumMod val="75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Sheet1!$O$5</c15:sqref>
                        </c15:formulaRef>
                      </c:ext>
                    </c:extLst>
                    <c:strCache>
                      <c:ptCount val="1"/>
                      <c:pt idx="0">
                        <c:v>PROFIT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Sheet1!$O$7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</c15:ser>
            </c15:filteredBarSeries>
          </c:ext>
        </c:extLst>
      </c:barChart>
      <c:catAx>
        <c:axId val="-1480675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480680320"/>
        <c:crosses val="autoZero"/>
        <c:auto val="1"/>
        <c:lblAlgn val="ctr"/>
        <c:lblOffset val="100"/>
        <c:noMultiLvlLbl val="0"/>
      </c:catAx>
      <c:valAx>
        <c:axId val="-148068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48067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315513</xdr:colOff>
      <xdr:row>26</xdr:row>
      <xdr:rowOff>122634</xdr:rowOff>
    </xdr:from>
    <xdr:to>
      <xdr:col>10</xdr:col>
      <xdr:colOff>250029</xdr:colOff>
      <xdr:row>41</xdr:row>
      <xdr:rowOff>8334</xdr:rowOff>
    </xdr:to>
    <xdr:graphicFrame>
      <xdr:nvGraphicFramePr>
        <xdr:cNvPr id="4" name="Chart 3"/>
        <xdr:cNvGraphicFramePr/>
      </xdr:nvGraphicFramePr>
      <xdr:xfrm>
        <a:off x="1515110" y="5551805"/>
        <a:ext cx="491617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24"/>
  <sheetViews>
    <sheetView tabSelected="1" zoomScale="80" zoomScaleNormal="80" workbookViewId="0">
      <selection activeCell="B4" sqref="B4:O4"/>
    </sheetView>
  </sheetViews>
  <sheetFormatPr defaultColWidth="9" defaultRowHeight="15"/>
  <cols>
    <col min="3" max="3" width="10.2857142857143" customWidth="1"/>
    <col min="8" max="8" width="10.4285714285714" customWidth="1"/>
    <col min="12" max="12" width="9.14285714285714" customWidth="1"/>
    <col min="13" max="14" width="10.8571428571429" customWidth="1"/>
  </cols>
  <sheetData>
    <row r="1" ht="47.25" spans="2:15"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2:1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2:15">
      <c r="B3" s="6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15.75" spans="2:1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2:15">
      <c r="B5" s="7" t="s">
        <v>2</v>
      </c>
      <c r="C5" s="8"/>
      <c r="D5" s="9"/>
      <c r="E5" s="9"/>
      <c r="F5" s="9"/>
      <c r="G5" s="10"/>
      <c r="H5" s="8"/>
      <c r="I5" s="9"/>
      <c r="J5" s="9"/>
      <c r="K5" s="9"/>
      <c r="L5" s="1"/>
      <c r="M5" s="51" t="s">
        <v>3</v>
      </c>
      <c r="N5" s="52" t="s">
        <v>3</v>
      </c>
      <c r="O5" s="53" t="s">
        <v>4</v>
      </c>
    </row>
    <row r="6" ht="14.25" customHeight="1" spans="2:15">
      <c r="B6" s="11"/>
      <c r="C6" s="12" t="s">
        <v>5</v>
      </c>
      <c r="D6" s="13" t="s">
        <v>6</v>
      </c>
      <c r="E6" s="13" t="s">
        <v>7</v>
      </c>
      <c r="F6" s="14" t="s">
        <v>8</v>
      </c>
      <c r="G6" s="15" t="s">
        <v>5</v>
      </c>
      <c r="H6" s="16" t="s">
        <v>5</v>
      </c>
      <c r="I6" s="13" t="s">
        <v>6</v>
      </c>
      <c r="J6" s="13" t="s">
        <v>7</v>
      </c>
      <c r="K6" s="14" t="s">
        <v>8</v>
      </c>
      <c r="L6" s="15" t="s">
        <v>5</v>
      </c>
      <c r="M6" s="54" t="s">
        <v>7</v>
      </c>
      <c r="N6" s="55" t="s">
        <v>5</v>
      </c>
      <c r="O6" s="56"/>
    </row>
    <row r="7" ht="15.75" spans="2:15">
      <c r="B7" s="17"/>
      <c r="C7" s="18" t="s">
        <v>9</v>
      </c>
      <c r="D7" s="19" t="s">
        <v>10</v>
      </c>
      <c r="E7" s="19" t="s">
        <v>10</v>
      </c>
      <c r="F7" s="20" t="s">
        <v>10</v>
      </c>
      <c r="G7" s="21" t="s">
        <v>10</v>
      </c>
      <c r="H7" s="22" t="s">
        <v>9</v>
      </c>
      <c r="I7" s="19" t="s">
        <v>10</v>
      </c>
      <c r="J7" s="19" t="s">
        <v>10</v>
      </c>
      <c r="K7" s="20" t="s">
        <v>10</v>
      </c>
      <c r="L7" s="21" t="s">
        <v>10</v>
      </c>
      <c r="M7" s="57" t="s">
        <v>10</v>
      </c>
      <c r="N7" s="58" t="s">
        <v>10</v>
      </c>
      <c r="O7" s="59"/>
    </row>
    <row r="8" spans="2:15">
      <c r="B8" s="23" t="s">
        <v>11</v>
      </c>
      <c r="C8" s="24">
        <v>150</v>
      </c>
      <c r="D8" s="25">
        <v>5722</v>
      </c>
      <c r="E8" s="25">
        <f t="shared" ref="E8:E19" si="0">(C8*D8)</f>
        <v>858300</v>
      </c>
      <c r="F8" s="25">
        <v>6854</v>
      </c>
      <c r="G8" s="26">
        <f t="shared" ref="G8:G19" si="1">(C8*F8)</f>
        <v>1028100</v>
      </c>
      <c r="H8" s="24">
        <v>45</v>
      </c>
      <c r="I8" s="25">
        <v>5722</v>
      </c>
      <c r="J8" s="25">
        <f t="shared" ref="J8:J19" si="2">(H8*I8)</f>
        <v>257490</v>
      </c>
      <c r="K8" s="60">
        <v>100000</v>
      </c>
      <c r="L8" s="61">
        <f t="shared" ref="L8:L19" si="3">(H8*K8)</f>
        <v>4500000</v>
      </c>
      <c r="M8" s="62">
        <f t="shared" ref="M8:M19" si="4">SUM(E8+J8)</f>
        <v>1115790</v>
      </c>
      <c r="N8" s="62">
        <f t="shared" ref="N8:N19" si="5">SUM(G8+L8)</f>
        <v>5528100</v>
      </c>
      <c r="O8" s="63">
        <f t="shared" ref="O8:O19" si="6">(G8-E8)+(L8-J8)</f>
        <v>4412310</v>
      </c>
    </row>
    <row r="9" spans="2:15">
      <c r="B9" s="27" t="s">
        <v>12</v>
      </c>
      <c r="C9" s="28">
        <v>175</v>
      </c>
      <c r="D9" s="29">
        <v>4578</v>
      </c>
      <c r="E9" s="29">
        <f t="shared" si="0"/>
        <v>801150</v>
      </c>
      <c r="F9" s="29">
        <v>5710</v>
      </c>
      <c r="G9" s="30">
        <f t="shared" si="1"/>
        <v>999250</v>
      </c>
      <c r="H9" s="28">
        <v>85</v>
      </c>
      <c r="I9" s="29">
        <v>4578</v>
      </c>
      <c r="J9" s="29">
        <f t="shared" si="2"/>
        <v>389130</v>
      </c>
      <c r="K9" s="64">
        <v>130000</v>
      </c>
      <c r="L9" s="30">
        <f t="shared" si="3"/>
        <v>11050000</v>
      </c>
      <c r="M9" s="65">
        <f t="shared" si="4"/>
        <v>1190280</v>
      </c>
      <c r="N9" s="66">
        <f t="shared" si="5"/>
        <v>12049250</v>
      </c>
      <c r="O9" s="67">
        <f t="shared" si="6"/>
        <v>10858970</v>
      </c>
    </row>
    <row r="10" spans="2:15">
      <c r="B10" s="27" t="s">
        <v>13</v>
      </c>
      <c r="C10" s="28">
        <v>200</v>
      </c>
      <c r="D10" s="29">
        <v>3433</v>
      </c>
      <c r="E10" s="29">
        <f t="shared" si="0"/>
        <v>686600</v>
      </c>
      <c r="F10" s="29">
        <v>4567</v>
      </c>
      <c r="G10" s="30">
        <f t="shared" si="1"/>
        <v>913400</v>
      </c>
      <c r="H10" s="28">
        <v>95</v>
      </c>
      <c r="I10" s="29">
        <v>3433</v>
      </c>
      <c r="J10" s="29">
        <f t="shared" si="2"/>
        <v>326135</v>
      </c>
      <c r="K10" s="64">
        <v>150000</v>
      </c>
      <c r="L10" s="30">
        <f t="shared" si="3"/>
        <v>14250000</v>
      </c>
      <c r="M10" s="65">
        <f t="shared" si="4"/>
        <v>1012735</v>
      </c>
      <c r="N10" s="65">
        <f t="shared" si="5"/>
        <v>15163400</v>
      </c>
      <c r="O10" s="67">
        <f t="shared" si="6"/>
        <v>14150665</v>
      </c>
    </row>
    <row r="11" spans="2:15">
      <c r="B11" s="27" t="s">
        <v>14</v>
      </c>
      <c r="C11" s="28">
        <v>225</v>
      </c>
      <c r="D11" s="29">
        <v>4806</v>
      </c>
      <c r="E11" s="29">
        <f t="shared" si="0"/>
        <v>1081350</v>
      </c>
      <c r="F11" s="29">
        <v>5938</v>
      </c>
      <c r="G11" s="30">
        <f t="shared" si="1"/>
        <v>1336050</v>
      </c>
      <c r="H11" s="28">
        <v>40</v>
      </c>
      <c r="I11" s="29">
        <v>4806</v>
      </c>
      <c r="J11" s="29">
        <f t="shared" si="2"/>
        <v>192240</v>
      </c>
      <c r="K11" s="64">
        <v>175000</v>
      </c>
      <c r="L11" s="30">
        <f t="shared" si="3"/>
        <v>7000000</v>
      </c>
      <c r="M11" s="66">
        <f t="shared" si="4"/>
        <v>1273590</v>
      </c>
      <c r="N11" s="65">
        <f t="shared" si="5"/>
        <v>8336050</v>
      </c>
      <c r="O11" s="67">
        <f t="shared" si="6"/>
        <v>7062460</v>
      </c>
    </row>
    <row r="12" spans="2:15">
      <c r="B12" s="27" t="s">
        <v>15</v>
      </c>
      <c r="C12" s="28">
        <v>250</v>
      </c>
      <c r="D12" s="29">
        <v>8011</v>
      </c>
      <c r="E12" s="29">
        <f t="shared" si="0"/>
        <v>2002750</v>
      </c>
      <c r="F12" s="29">
        <v>9139</v>
      </c>
      <c r="G12" s="30">
        <f t="shared" si="1"/>
        <v>2284750</v>
      </c>
      <c r="H12" s="28">
        <v>55</v>
      </c>
      <c r="I12" s="29">
        <v>8011</v>
      </c>
      <c r="J12" s="29">
        <f t="shared" si="2"/>
        <v>440605</v>
      </c>
      <c r="K12" s="64">
        <v>120000</v>
      </c>
      <c r="L12" s="30">
        <f t="shared" si="3"/>
        <v>6600000</v>
      </c>
      <c r="M12" s="65">
        <f t="shared" si="4"/>
        <v>2443355</v>
      </c>
      <c r="N12" s="65">
        <f t="shared" si="5"/>
        <v>8884750</v>
      </c>
      <c r="O12" s="67">
        <f t="shared" si="6"/>
        <v>6441395</v>
      </c>
    </row>
    <row r="13" spans="2:15">
      <c r="B13" s="27" t="s">
        <v>16</v>
      </c>
      <c r="C13" s="28">
        <v>275</v>
      </c>
      <c r="D13" s="29">
        <v>5722</v>
      </c>
      <c r="E13" s="29">
        <f t="shared" si="0"/>
        <v>1573550</v>
      </c>
      <c r="F13" s="29">
        <v>6854</v>
      </c>
      <c r="G13" s="30">
        <f t="shared" si="1"/>
        <v>1884850</v>
      </c>
      <c r="H13" s="28">
        <v>55</v>
      </c>
      <c r="I13" s="29">
        <v>5722</v>
      </c>
      <c r="J13" s="29">
        <f t="shared" si="2"/>
        <v>314710</v>
      </c>
      <c r="K13" s="64">
        <v>125600</v>
      </c>
      <c r="L13" s="30">
        <f t="shared" si="3"/>
        <v>6908000</v>
      </c>
      <c r="M13" s="65">
        <f t="shared" si="4"/>
        <v>1888260</v>
      </c>
      <c r="N13" s="65">
        <f t="shared" si="5"/>
        <v>8792850</v>
      </c>
      <c r="O13" s="67">
        <f t="shared" si="6"/>
        <v>6904590</v>
      </c>
    </row>
    <row r="14" spans="2:15">
      <c r="B14" s="27" t="s">
        <v>17</v>
      </c>
      <c r="C14" s="28">
        <v>300</v>
      </c>
      <c r="D14" s="29">
        <v>4578</v>
      </c>
      <c r="E14" s="29">
        <f t="shared" si="0"/>
        <v>1373400</v>
      </c>
      <c r="F14" s="29">
        <v>5710</v>
      </c>
      <c r="G14" s="30">
        <f t="shared" si="1"/>
        <v>1713000</v>
      </c>
      <c r="H14" s="28">
        <v>70</v>
      </c>
      <c r="I14" s="29">
        <v>4578</v>
      </c>
      <c r="J14" s="29">
        <f t="shared" si="2"/>
        <v>320460</v>
      </c>
      <c r="K14" s="64">
        <v>106000</v>
      </c>
      <c r="L14" s="30">
        <f t="shared" si="3"/>
        <v>7420000</v>
      </c>
      <c r="M14" s="66">
        <f t="shared" si="4"/>
        <v>1693860</v>
      </c>
      <c r="N14" s="65">
        <f t="shared" si="5"/>
        <v>9133000</v>
      </c>
      <c r="O14" s="67">
        <f t="shared" si="6"/>
        <v>7439140</v>
      </c>
    </row>
    <row r="15" spans="2:15">
      <c r="B15" s="27" t="s">
        <v>18</v>
      </c>
      <c r="C15" s="28">
        <v>325</v>
      </c>
      <c r="D15" s="29">
        <v>3433</v>
      </c>
      <c r="E15" s="29">
        <f t="shared" si="0"/>
        <v>1115725</v>
      </c>
      <c r="F15" s="29">
        <v>4567</v>
      </c>
      <c r="G15" s="30">
        <f t="shared" si="1"/>
        <v>1484275</v>
      </c>
      <c r="H15" s="28">
        <v>40</v>
      </c>
      <c r="I15" s="29">
        <v>3433</v>
      </c>
      <c r="J15" s="29">
        <f t="shared" si="2"/>
        <v>137320</v>
      </c>
      <c r="K15" s="64">
        <v>108000</v>
      </c>
      <c r="L15" s="30">
        <f t="shared" si="3"/>
        <v>4320000</v>
      </c>
      <c r="M15" s="66">
        <f t="shared" si="4"/>
        <v>1253045</v>
      </c>
      <c r="N15" s="65">
        <f t="shared" si="5"/>
        <v>5804275</v>
      </c>
      <c r="O15" s="67">
        <f t="shared" si="6"/>
        <v>4551230</v>
      </c>
    </row>
    <row r="16" spans="2:15">
      <c r="B16" s="27" t="s">
        <v>19</v>
      </c>
      <c r="C16" s="28">
        <v>350</v>
      </c>
      <c r="D16" s="29">
        <v>3433</v>
      </c>
      <c r="E16" s="29">
        <f t="shared" si="0"/>
        <v>1201550</v>
      </c>
      <c r="F16" s="29">
        <v>4567</v>
      </c>
      <c r="G16" s="30">
        <f t="shared" si="1"/>
        <v>1598450</v>
      </c>
      <c r="H16" s="28">
        <v>85</v>
      </c>
      <c r="I16" s="29">
        <v>3433</v>
      </c>
      <c r="J16" s="29">
        <f t="shared" si="2"/>
        <v>291805</v>
      </c>
      <c r="K16" s="64">
        <v>120000</v>
      </c>
      <c r="L16" s="30">
        <f t="shared" si="3"/>
        <v>10200000</v>
      </c>
      <c r="M16" s="66">
        <f t="shared" si="4"/>
        <v>1493355</v>
      </c>
      <c r="N16" s="65">
        <f t="shared" si="5"/>
        <v>11798450</v>
      </c>
      <c r="O16" s="67">
        <f t="shared" si="6"/>
        <v>10305095</v>
      </c>
    </row>
    <row r="17" spans="2:15">
      <c r="B17" s="27" t="s">
        <v>20</v>
      </c>
      <c r="C17" s="28">
        <v>200</v>
      </c>
      <c r="D17" s="29">
        <v>4806</v>
      </c>
      <c r="E17" s="29">
        <f t="shared" si="0"/>
        <v>961200</v>
      </c>
      <c r="F17" s="29">
        <v>5938</v>
      </c>
      <c r="G17" s="30">
        <f t="shared" si="1"/>
        <v>1187600</v>
      </c>
      <c r="H17" s="28">
        <v>65</v>
      </c>
      <c r="I17" s="29">
        <v>4806</v>
      </c>
      <c r="J17" s="29">
        <f t="shared" si="2"/>
        <v>312390</v>
      </c>
      <c r="K17" s="64">
        <v>150000</v>
      </c>
      <c r="L17" s="30">
        <f t="shared" si="3"/>
        <v>9750000</v>
      </c>
      <c r="M17" s="66">
        <f t="shared" si="4"/>
        <v>1273590</v>
      </c>
      <c r="N17" s="65">
        <f t="shared" si="5"/>
        <v>10937600</v>
      </c>
      <c r="O17" s="67">
        <f t="shared" si="6"/>
        <v>9664010</v>
      </c>
    </row>
    <row r="18" spans="2:15">
      <c r="B18" s="27" t="s">
        <v>21</v>
      </c>
      <c r="C18" s="28">
        <v>150</v>
      </c>
      <c r="D18" s="29">
        <v>8011</v>
      </c>
      <c r="E18" s="29">
        <f t="shared" si="0"/>
        <v>1201650</v>
      </c>
      <c r="F18" s="29">
        <v>9139</v>
      </c>
      <c r="G18" s="30">
        <f t="shared" si="1"/>
        <v>1370850</v>
      </c>
      <c r="H18" s="28">
        <v>60</v>
      </c>
      <c r="I18" s="29">
        <v>8011</v>
      </c>
      <c r="J18" s="29">
        <f t="shared" si="2"/>
        <v>480660</v>
      </c>
      <c r="K18" s="64">
        <v>147852</v>
      </c>
      <c r="L18" s="30">
        <f t="shared" si="3"/>
        <v>8871120</v>
      </c>
      <c r="M18" s="66">
        <f t="shared" si="4"/>
        <v>1682310</v>
      </c>
      <c r="N18" s="65">
        <f t="shared" si="5"/>
        <v>10241970</v>
      </c>
      <c r="O18" s="67">
        <f t="shared" si="6"/>
        <v>8559660</v>
      </c>
    </row>
    <row r="19" ht="15.75" spans="2:15">
      <c r="B19" s="31" t="s">
        <v>22</v>
      </c>
      <c r="C19" s="32">
        <v>250</v>
      </c>
      <c r="D19" s="33">
        <v>5722</v>
      </c>
      <c r="E19" s="33">
        <f t="shared" si="0"/>
        <v>1430500</v>
      </c>
      <c r="F19" s="33">
        <v>6854</v>
      </c>
      <c r="G19" s="34">
        <f t="shared" si="1"/>
        <v>1713500</v>
      </c>
      <c r="H19" s="32">
        <v>50</v>
      </c>
      <c r="I19" s="33">
        <v>5722</v>
      </c>
      <c r="J19" s="33">
        <f t="shared" si="2"/>
        <v>286100</v>
      </c>
      <c r="K19" s="68">
        <v>125600</v>
      </c>
      <c r="L19" s="34">
        <f t="shared" si="3"/>
        <v>6280000</v>
      </c>
      <c r="M19" s="69">
        <f t="shared" si="4"/>
        <v>1716600</v>
      </c>
      <c r="N19" s="69">
        <f t="shared" si="5"/>
        <v>7993500</v>
      </c>
      <c r="O19" s="70">
        <f t="shared" si="6"/>
        <v>6276900</v>
      </c>
    </row>
    <row r="20" ht="15.75" spans="13:15">
      <c r="M20" s="71"/>
      <c r="N20" s="71"/>
      <c r="O20" s="71"/>
    </row>
    <row r="21" ht="15.75" spans="2:15">
      <c r="B21" s="35" t="s">
        <v>23</v>
      </c>
      <c r="C21" s="36">
        <f>SUM(C8:C20)</f>
        <v>2850</v>
      </c>
      <c r="D21" s="37">
        <f t="shared" ref="D21:L21" si="7">SUM(D8:D20)</f>
        <v>62255</v>
      </c>
      <c r="E21" s="38">
        <f t="shared" si="7"/>
        <v>14287725</v>
      </c>
      <c r="F21" s="38">
        <f t="shared" si="7"/>
        <v>75837</v>
      </c>
      <c r="G21" s="38">
        <f t="shared" si="7"/>
        <v>17514075</v>
      </c>
      <c r="H21" s="38">
        <f t="shared" si="7"/>
        <v>745</v>
      </c>
      <c r="I21" s="38">
        <f t="shared" si="7"/>
        <v>62255</v>
      </c>
      <c r="J21" s="38">
        <f t="shared" si="7"/>
        <v>3749045</v>
      </c>
      <c r="K21" s="36">
        <f t="shared" si="7"/>
        <v>1558052</v>
      </c>
      <c r="L21" s="72">
        <f t="shared" si="7"/>
        <v>97149120</v>
      </c>
      <c r="M21" s="72">
        <f t="shared" ref="M21" si="8">SUM(M8:M20)</f>
        <v>18036770</v>
      </c>
      <c r="N21" s="72">
        <f t="shared" ref="N21" si="9">SUM(N8:N20)</f>
        <v>114663195</v>
      </c>
      <c r="O21" s="72">
        <f t="shared" ref="O21" si="10">SUM(O8:O20)</f>
        <v>96626425</v>
      </c>
    </row>
    <row r="22" ht="15.75" spans="2:15">
      <c r="B22" s="39" t="s">
        <v>24</v>
      </c>
      <c r="C22" s="40">
        <f>AVERAGE(C8:C19)</f>
        <v>237.5</v>
      </c>
      <c r="D22" s="41">
        <f t="shared" ref="D22:O22" si="11">AVERAGE(D8:D19)</f>
        <v>5187.91666666667</v>
      </c>
      <c r="E22" s="42">
        <f t="shared" si="11"/>
        <v>1190643.75</v>
      </c>
      <c r="F22" s="40">
        <f t="shared" si="11"/>
        <v>6319.75</v>
      </c>
      <c r="G22" s="40">
        <f t="shared" si="11"/>
        <v>1459506.25</v>
      </c>
      <c r="H22" s="40">
        <f t="shared" si="11"/>
        <v>62.0833333333333</v>
      </c>
      <c r="I22" s="40">
        <f t="shared" si="11"/>
        <v>5187.91666666667</v>
      </c>
      <c r="J22" s="40">
        <f t="shared" si="11"/>
        <v>312420.416666667</v>
      </c>
      <c r="K22" s="40">
        <f t="shared" si="11"/>
        <v>129837.666666667</v>
      </c>
      <c r="L22" s="41">
        <f t="shared" si="11"/>
        <v>8095760</v>
      </c>
      <c r="M22" s="41">
        <f t="shared" si="11"/>
        <v>1503064.16666667</v>
      </c>
      <c r="N22" s="41">
        <f t="shared" si="11"/>
        <v>9555266.25</v>
      </c>
      <c r="O22" s="41">
        <f t="shared" si="11"/>
        <v>8052202.08333333</v>
      </c>
    </row>
    <row r="23" ht="15.75" spans="2:15">
      <c r="B23" s="43" t="s">
        <v>25</v>
      </c>
      <c r="C23" s="44">
        <f>MAX(C8:C19,C9)</f>
        <v>350</v>
      </c>
      <c r="D23" s="44">
        <f t="shared" ref="D23:O23" si="12">MAX(D8:D19,D9)</f>
        <v>8011</v>
      </c>
      <c r="E23" s="44">
        <f t="shared" si="12"/>
        <v>2002750</v>
      </c>
      <c r="F23" s="44">
        <f t="shared" si="12"/>
        <v>9139</v>
      </c>
      <c r="G23" s="45">
        <f t="shared" si="12"/>
        <v>2284750</v>
      </c>
      <c r="H23" s="46">
        <f t="shared" si="12"/>
        <v>95</v>
      </c>
      <c r="I23" s="46">
        <f t="shared" si="12"/>
        <v>8011</v>
      </c>
      <c r="J23" s="46">
        <f t="shared" si="12"/>
        <v>480660</v>
      </c>
      <c r="K23" s="46">
        <f t="shared" si="12"/>
        <v>175000</v>
      </c>
      <c r="L23" s="44">
        <f t="shared" si="12"/>
        <v>14250000</v>
      </c>
      <c r="M23" s="44">
        <f t="shared" si="12"/>
        <v>2443355</v>
      </c>
      <c r="N23" s="44">
        <f t="shared" si="12"/>
        <v>15163400</v>
      </c>
      <c r="O23" s="44">
        <f t="shared" si="12"/>
        <v>14150665</v>
      </c>
    </row>
    <row r="24" ht="15.75" spans="2:15">
      <c r="B24" s="47" t="s">
        <v>26</v>
      </c>
      <c r="C24" s="48">
        <f>MIN(C8:C19)</f>
        <v>150</v>
      </c>
      <c r="D24" s="48">
        <f t="shared" ref="D24:O24" si="13">MIN(D8:D19)</f>
        <v>3433</v>
      </c>
      <c r="E24" s="49">
        <f t="shared" si="13"/>
        <v>686600</v>
      </c>
      <c r="F24" s="50">
        <f t="shared" si="13"/>
        <v>4567</v>
      </c>
      <c r="G24" s="50">
        <f t="shared" si="13"/>
        <v>913400</v>
      </c>
      <c r="H24" s="50">
        <f t="shared" si="13"/>
        <v>40</v>
      </c>
      <c r="I24" s="50">
        <f t="shared" si="13"/>
        <v>3433</v>
      </c>
      <c r="J24" s="48">
        <f t="shared" si="13"/>
        <v>137320</v>
      </c>
      <c r="K24" s="48">
        <f t="shared" si="13"/>
        <v>100000</v>
      </c>
      <c r="L24" s="73">
        <f t="shared" si="13"/>
        <v>4320000</v>
      </c>
      <c r="M24" s="73">
        <f t="shared" si="13"/>
        <v>1012735</v>
      </c>
      <c r="N24" s="73">
        <f t="shared" si="13"/>
        <v>5528100</v>
      </c>
      <c r="O24" s="73">
        <f t="shared" si="13"/>
        <v>4412310</v>
      </c>
    </row>
  </sheetData>
  <mergeCells count="8">
    <mergeCell ref="B1:O1"/>
    <mergeCell ref="B2:O2"/>
    <mergeCell ref="B3:O3"/>
    <mergeCell ref="B4:O4"/>
    <mergeCell ref="C5:G5"/>
    <mergeCell ref="H5:L5"/>
    <mergeCell ref="B5:B7"/>
    <mergeCell ref="O5:O7"/>
  </mergeCells>
  <conditionalFormatting sqref="S14">
    <cfRule type="uniqueValues" dxfId="0" priority="5"/>
    <cfRule type="timePeriod" dxfId="1" priority="4" timePeriod="yesterday">
      <formula>FLOOR(S14,1)=TODAY()-1</formula>
    </cfRule>
    <cfRule type="colorScale" priority="3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tabSelected="1" workbookViewId="0">
      <selection activeCell="B4" sqref="B4:O4"/>
    </sheetView>
  </sheetViews>
  <sheetFormatPr defaultColWidth="9" defaultRowHeight="15"/>
  <sheetData>
    <row r="1" ht="48" spans="1:2">
      <c r="A1" s="1" t="s">
        <v>27</v>
      </c>
      <c r="B1" s="2" t="s">
        <v>0</v>
      </c>
    </row>
    <row r="2" spans="2:1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2:1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8" spans="4:9">
      <c r="D8">
        <v>5722</v>
      </c>
      <c r="F8">
        <v>6854</v>
      </c>
      <c r="I8">
        <v>5722</v>
      </c>
    </row>
    <row r="9" spans="4:9">
      <c r="D9">
        <v>4578</v>
      </c>
      <c r="F9">
        <v>5710</v>
      </c>
      <c r="I9">
        <v>4578</v>
      </c>
    </row>
    <row r="10" spans="4:9">
      <c r="D10">
        <v>3433</v>
      </c>
      <c r="F10">
        <v>4567</v>
      </c>
      <c r="I10">
        <v>3433</v>
      </c>
    </row>
    <row r="11" spans="4:9">
      <c r="D11">
        <v>4806</v>
      </c>
      <c r="F11">
        <v>5938</v>
      </c>
      <c r="I11">
        <v>4806</v>
      </c>
    </row>
    <row r="12" spans="4:9">
      <c r="D12">
        <v>8011</v>
      </c>
      <c r="F12">
        <v>9139</v>
      </c>
      <c r="I12">
        <v>8011</v>
      </c>
    </row>
    <row r="13" spans="4:9">
      <c r="D13">
        <v>5722</v>
      </c>
      <c r="F13">
        <v>6854</v>
      </c>
      <c r="I13">
        <v>5722</v>
      </c>
    </row>
    <row r="14" spans="4:9">
      <c r="D14">
        <v>4578</v>
      </c>
      <c r="F14">
        <v>5710</v>
      </c>
      <c r="I14">
        <v>4578</v>
      </c>
    </row>
    <row r="15" spans="4:9">
      <c r="D15">
        <v>3433</v>
      </c>
      <c r="F15">
        <v>4567</v>
      </c>
      <c r="I15">
        <v>3433</v>
      </c>
    </row>
    <row r="16" spans="4:9">
      <c r="D16">
        <v>3433</v>
      </c>
      <c r="F16">
        <v>4567</v>
      </c>
      <c r="I16">
        <v>3433</v>
      </c>
    </row>
    <row r="17" spans="4:9">
      <c r="D17">
        <v>4806</v>
      </c>
      <c r="F17">
        <v>5938</v>
      </c>
      <c r="I17">
        <v>4806</v>
      </c>
    </row>
    <row r="18" spans="4:9">
      <c r="D18">
        <v>8011</v>
      </c>
      <c r="F18">
        <v>9139</v>
      </c>
      <c r="I18">
        <v>8011</v>
      </c>
    </row>
    <row r="19" spans="4:9">
      <c r="D19">
        <v>5722</v>
      </c>
      <c r="F19">
        <v>6854</v>
      </c>
      <c r="I19">
        <v>5722</v>
      </c>
    </row>
    <row r="24" spans="10:10">
      <c r="J24">
        <f>MIN(J8:J19)</f>
        <v>0</v>
      </c>
    </row>
  </sheetData>
  <mergeCells count="2">
    <mergeCell ref="B2:O2"/>
    <mergeCell ref="B4:O4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89E87C35-24B6-4C77-B7A6-805368187AFE}">
  <ds:schemaRefs/>
</ds:datastoreItem>
</file>

<file path=customXml/itemProps2.xml><?xml version="1.0" encoding="utf-8"?>
<ds:datastoreItem xmlns:ds="http://schemas.openxmlformats.org/officeDocument/2006/customXml" ds:itemID="{D7ED194A-B33E-4441-9EBC-46970F02076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Jamal</dc:creator>
  <cp:lastModifiedBy>spring2018</cp:lastModifiedBy>
  <dcterms:created xsi:type="dcterms:W3CDTF">2020-11-17T12:04:00Z</dcterms:created>
  <dcterms:modified xsi:type="dcterms:W3CDTF">2023-01-16T08:03:31Z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1033-11.2.0.11156</vt:lpwstr>
  </property>
  <property fmtid="{D5CDD505-2E9C-101B-9397-08002B2CF9AE}" pid="3" name="ICV">
    <vt:lpwstr>3A5B847384CE4170B4143C3CD46A7E1D</vt:lpwstr>
  </property>
</Properties>
</file>